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N:\공유 드라이브\work\10 ETC\10 ETC\Python\poongjin\costNETprice\"/>
    </mc:Choice>
  </mc:AlternateContent>
  <xr:revisionPtr revIDLastSave="0" documentId="13_ncr:1_{E4C38D12-B05A-455E-99B0-FD4D8AF251E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ST" sheetId="1" r:id="rId1"/>
  </sheets>
  <definedNames>
    <definedName name="_xlnm.Print_Area" localSheetId="0">COST!$A$1:$R$35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1" l="1"/>
  <c r="F34" i="1"/>
  <c r="F33" i="1"/>
  <c r="F28" i="1"/>
  <c r="F27" i="1"/>
  <c r="F26" i="1"/>
  <c r="I21" i="1"/>
  <c r="F21" i="1"/>
  <c r="C21" i="1"/>
  <c r="I20" i="1"/>
  <c r="F20" i="1"/>
  <c r="C20" i="1"/>
  <c r="I19" i="1"/>
  <c r="F19" i="1"/>
  <c r="L19" i="1" s="1"/>
  <c r="F17" i="1"/>
  <c r="C17" i="1"/>
  <c r="F16" i="1"/>
  <c r="C16" i="1"/>
  <c r="F15" i="1"/>
  <c r="L15" i="1" s="1"/>
  <c r="Q11" i="1"/>
  <c r="L21" i="1" l="1"/>
  <c r="L20" i="1"/>
  <c r="L16" i="1"/>
  <c r="C27" i="1" s="1"/>
  <c r="C34" i="1" s="1"/>
  <c r="L17" i="1"/>
  <c r="C26" i="1"/>
  <c r="C33" i="1" s="1"/>
  <c r="C28" i="1"/>
  <c r="C35" i="1" s="1"/>
</calcChain>
</file>

<file path=xl/sharedStrings.xml><?xml version="1.0" encoding="utf-8"?>
<sst xmlns="http://schemas.openxmlformats.org/spreadsheetml/2006/main" count="93" uniqueCount="35">
  <si>
    <t xml:space="preserve">◎ ITEM : </t>
  </si>
  <si>
    <t>Stretch Mesh With Textile(Shenhong FD Recycled)</t>
  </si>
  <si>
    <t>CPEM(60-147M)</t>
  </si>
  <si>
    <t>◎ 원가 계산내역</t>
  </si>
  <si>
    <t>yds당 중량</t>
  </si>
  <si>
    <t>제직LOSS</t>
  </si>
  <si>
    <t>염색LOSS</t>
  </si>
  <si>
    <t>자연LOSS</t>
  </si>
  <si>
    <t>혼용율</t>
  </si>
  <si>
    <t xml:space="preserve">원   사 : </t>
  </si>
  <si>
    <t>USD</t>
  </si>
  <si>
    <t>×</t>
  </si>
  <si>
    <t>/KG</t>
  </si>
  <si>
    <t>x</t>
  </si>
  <si>
    <t>≠</t>
  </si>
  <si>
    <t>/YD</t>
  </si>
  <si>
    <t xml:space="preserve">제   직 : </t>
  </si>
  <si>
    <t>원</t>
  </si>
  <si>
    <t>÷</t>
  </si>
  <si>
    <t xml:space="preserve">염   색 : </t>
  </si>
  <si>
    <t xml:space="preserve">기    타 : </t>
  </si>
  <si>
    <t>검사</t>
  </si>
  <si>
    <t xml:space="preserve">N E T   : </t>
  </si>
  <si>
    <t>U$</t>
  </si>
  <si>
    <t xml:space="preserve">수주단가 : </t>
  </si>
  <si>
    <t>마    진:</t>
  </si>
  <si>
    <t>원   사</t>
  </si>
  <si>
    <t>생   지</t>
  </si>
  <si>
    <t>60" X 178GR/YD</t>
  </si>
  <si>
    <t>생산량</t>
  </si>
  <si>
    <t>가공순서</t>
  </si>
  <si>
    <t>염색처</t>
  </si>
  <si>
    <t>축   률</t>
    <phoneticPr fontId="2" type="noConversion"/>
  </si>
  <si>
    <t>염색료</t>
    <phoneticPr fontId="2" type="noConversion"/>
  </si>
  <si>
    <t>가  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</si>
</sst>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 "/>
    <numFmt numFmtId="177" formatCode="0.00_ ;[Red]\-0.00\ "/>
    <numFmt numFmtId="178" formatCode="0.000_ "/>
    <numFmt numFmtId="179" formatCode="0.0%"/>
    <numFmt numFmtId="180" formatCode="#,##0_ &quot;원&quot;"/>
    <numFmt numFmtId="181" formatCode="#,##0.00_ "/>
  </numFmts>
  <fonts count="7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>
      <alignment vertical="center"/>
    </xf>
  </cellStyleXfs>
  <cellXfs count="52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 indent="1"/>
    </xf>
    <xf numFmtId="181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 indent="1"/>
    </xf>
    <xf numFmtId="176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77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176" fontId="3" fillId="3" borderId="0" xfId="0" applyNumberFormat="1" applyFont="1" applyFill="1" applyAlignment="1">
      <alignment horizontal="center" vertical="center"/>
    </xf>
    <xf numFmtId="179" fontId="3" fillId="0" borderId="0" xfId="1" applyNumberFormat="1" applyFont="1" applyAlignment="1">
      <alignment horizontal="right" vertical="center"/>
    </xf>
    <xf numFmtId="179" fontId="5" fillId="0" borderId="0" xfId="1" applyNumberFormat="1" applyFont="1" applyAlignment="1">
      <alignment horizontal="right" vertical="center"/>
    </xf>
    <xf numFmtId="179" fontId="3" fillId="3" borderId="0" xfId="1" applyNumberFormat="1" applyFont="1" applyFill="1" applyAlignment="1">
      <alignment horizontal="righ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80" fontId="3" fillId="2" borderId="10" xfId="0" applyNumberFormat="1" applyFont="1" applyFill="1" applyBorder="1" applyAlignment="1">
      <alignment horizontal="center" vertical="center"/>
    </xf>
    <xf numFmtId="180" fontId="3" fillId="2" borderId="12" xfId="0" applyNumberFormat="1" applyFont="1" applyFill="1" applyBorder="1" applyAlignment="1">
      <alignment horizontal="center" vertical="center"/>
    </xf>
    <xf numFmtId="180" fontId="3" fillId="2" borderId="11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177" fontId="3" fillId="0" borderId="0" xfId="0" applyNumberFormat="1" applyFont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4" fontId="3" fillId="0" borderId="0" xfId="0" applyNumberFormat="1" applyFont="1" applyAlignment="1">
      <alignment horizontal="right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5"/>
  <sheetViews>
    <sheetView tabSelected="1" zoomScaleNormal="100" zoomScaleSheetLayoutView="106" workbookViewId="0">
      <selection activeCell="K1" sqref="K1:M1"/>
    </sheetView>
  </sheetViews>
  <sheetFormatPr defaultRowHeight="16.5" x14ac:dyDescent="0.3"/>
  <cols>
    <col min="1" max="1" width="12.875" style="5" customWidth="1"/>
    <col min="2" max="2" width="5.5" style="6" bestFit="1" customWidth="1"/>
    <col min="3" max="3" width="9.5" style="6" bestFit="1" customWidth="1"/>
    <col min="4" max="4" width="4.875" style="6" bestFit="1" customWidth="1"/>
    <col min="5" max="5" width="2.375" style="6" customWidth="1"/>
    <col min="6" max="6" width="7.25" style="6" customWidth="1"/>
    <col min="7" max="7" width="4.625" style="6" customWidth="1"/>
    <col min="8" max="8" width="4.125" style="6" customWidth="1"/>
    <col min="9" max="9" width="6.25" style="6" bestFit="1" customWidth="1"/>
    <col min="10" max="10" width="3" style="6" customWidth="1"/>
    <col min="11" max="11" width="7" style="6" customWidth="1"/>
    <col min="12" max="12" width="2.875" style="6" customWidth="1"/>
    <col min="13" max="13" width="8.375" style="6" customWidth="1"/>
    <col min="14" max="14" width="3.375" style="6" customWidth="1"/>
    <col min="15" max="15" width="5.5" style="6" customWidth="1"/>
    <col min="16" max="16" width="2.875" style="6" bestFit="1" customWidth="1"/>
    <col min="17" max="17" width="6.25" style="6" bestFit="1" customWidth="1"/>
    <col min="18" max="18" width="4.125" style="6" customWidth="1"/>
    <col min="19" max="19" width="9" style="6" customWidth="1"/>
    <col min="20" max="16384" width="9" style="6"/>
  </cols>
  <sheetData>
    <row r="1" spans="1:18" x14ac:dyDescent="0.3">
      <c r="K1" s="51">
        <v>45826</v>
      </c>
      <c r="L1" s="50"/>
      <c r="M1" s="50"/>
    </row>
    <row r="2" spans="1:18" ht="16.5" customHeight="1" x14ac:dyDescent="0.3">
      <c r="A2" s="5" t="s">
        <v>0</v>
      </c>
      <c r="B2" s="43" t="s">
        <v>1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8" ht="17.25" thickBot="1" x14ac:dyDescent="0.35"/>
    <row r="4" spans="1:18" ht="28.5" customHeight="1" x14ac:dyDescent="0.3">
      <c r="A4" s="1" t="s">
        <v>26</v>
      </c>
      <c r="B4" s="46" t="s">
        <v>2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7"/>
    </row>
    <row r="5" spans="1:18" ht="28.5" customHeight="1" x14ac:dyDescent="0.3">
      <c r="A5" s="2" t="s">
        <v>27</v>
      </c>
      <c r="B5" s="35"/>
      <c r="C5" s="45"/>
      <c r="D5" s="45"/>
      <c r="E5" s="45"/>
      <c r="F5" s="36"/>
      <c r="G5" s="28" t="s">
        <v>34</v>
      </c>
      <c r="H5" s="31"/>
      <c r="I5" s="28" t="s">
        <v>28</v>
      </c>
      <c r="J5" s="29"/>
      <c r="K5" s="29"/>
      <c r="L5" s="29"/>
      <c r="M5" s="30"/>
    </row>
    <row r="6" spans="1:18" ht="28.5" customHeight="1" x14ac:dyDescent="0.3">
      <c r="A6" s="2" t="s">
        <v>29</v>
      </c>
      <c r="B6" s="35"/>
      <c r="C6" s="36"/>
      <c r="D6" s="35" t="s">
        <v>30</v>
      </c>
      <c r="E6" s="45"/>
      <c r="F6" s="36"/>
      <c r="G6" s="28"/>
      <c r="H6" s="29"/>
      <c r="I6" s="29"/>
      <c r="J6" s="29"/>
      <c r="K6" s="29"/>
      <c r="L6" s="29"/>
      <c r="M6" s="30"/>
      <c r="N6" s="7"/>
      <c r="O6" s="7"/>
      <c r="P6" s="7"/>
      <c r="Q6" s="7"/>
      <c r="R6" s="7"/>
    </row>
    <row r="7" spans="1:18" ht="28.5" customHeight="1" thickBot="1" x14ac:dyDescent="0.35">
      <c r="A7" s="3" t="s">
        <v>31</v>
      </c>
      <c r="B7" s="37"/>
      <c r="C7" s="38"/>
      <c r="D7" s="32" t="s">
        <v>33</v>
      </c>
      <c r="E7" s="33"/>
      <c r="F7" s="34"/>
      <c r="G7" s="39"/>
      <c r="H7" s="40"/>
      <c r="I7" s="39" t="s">
        <v>32</v>
      </c>
      <c r="J7" s="40"/>
      <c r="K7" s="26"/>
      <c r="L7" s="26"/>
      <c r="M7" s="27"/>
      <c r="N7" s="7"/>
      <c r="O7" s="7"/>
      <c r="P7" s="7"/>
      <c r="Q7" s="7"/>
      <c r="R7" s="7"/>
    </row>
    <row r="8" spans="1:18" ht="30" customHeight="1" x14ac:dyDescent="0.3"/>
    <row r="9" spans="1:18" x14ac:dyDescent="0.3">
      <c r="A9" s="5" t="s">
        <v>3</v>
      </c>
    </row>
    <row r="10" spans="1:18" x14ac:dyDescent="0.3">
      <c r="B10" s="7"/>
      <c r="C10" s="8"/>
      <c r="D10" s="7"/>
      <c r="E10" s="7"/>
      <c r="F10" s="24" t="s">
        <v>4</v>
      </c>
      <c r="G10" s="25"/>
      <c r="H10" s="25"/>
      <c r="I10" s="24" t="s">
        <v>5</v>
      </c>
      <c r="J10" s="24"/>
      <c r="K10" s="24" t="s">
        <v>6</v>
      </c>
      <c r="L10" s="24"/>
      <c r="M10" s="24" t="s">
        <v>7</v>
      </c>
      <c r="N10" s="24"/>
      <c r="O10" s="24" t="s">
        <v>8</v>
      </c>
      <c r="P10" s="7"/>
      <c r="Q10" s="7"/>
    </row>
    <row r="11" spans="1:18" ht="22.5" customHeight="1" x14ac:dyDescent="0.3">
      <c r="A11" s="10" t="s">
        <v>9</v>
      </c>
      <c r="B11" s="7" t="s">
        <v>10</v>
      </c>
      <c r="C11" s="11">
        <v>0.6098292152409599</v>
      </c>
      <c r="D11" s="5" t="s">
        <v>12</v>
      </c>
      <c r="E11" s="7" t="s">
        <v>11</v>
      </c>
      <c r="F11" s="7">
        <v>0.17799999999999999</v>
      </c>
      <c r="G11" s="5" t="s">
        <v>12</v>
      </c>
      <c r="H11" s="7" t="s">
        <v>11</v>
      </c>
      <c r="I11" s="7">
        <v>1.02</v>
      </c>
      <c r="J11" s="7" t="s">
        <v>11</v>
      </c>
      <c r="K11" s="7">
        <v>1.08</v>
      </c>
      <c r="L11" s="7" t="s">
        <v>11</v>
      </c>
      <c r="M11" s="7">
        <v>1.04</v>
      </c>
      <c r="N11" s="7" t="s">
        <v>13</v>
      </c>
      <c r="O11" s="12">
        <v>0.64400000000000002</v>
      </c>
      <c r="P11" s="7" t="s">
        <v>14</v>
      </c>
      <c r="Q11" s="13">
        <f>C11*F11*I11*K11*M11*O11</f>
        <v>8.0088721824606884E-2</v>
      </c>
      <c r="R11" s="6" t="s">
        <v>15</v>
      </c>
    </row>
    <row r="12" spans="1:18" ht="22.5" customHeight="1" x14ac:dyDescent="0.3">
      <c r="A12" s="14"/>
      <c r="B12" s="7"/>
      <c r="C12" s="11"/>
      <c r="D12" s="7"/>
      <c r="E12" s="7"/>
      <c r="F12" s="7"/>
      <c r="G12" s="5"/>
      <c r="H12" s="7"/>
      <c r="I12" s="7"/>
      <c r="J12" s="7"/>
      <c r="K12" s="7"/>
      <c r="L12" s="7"/>
      <c r="M12" s="7"/>
      <c r="N12" s="7"/>
      <c r="O12" s="12"/>
      <c r="P12" s="7"/>
      <c r="Q12" s="13"/>
    </row>
    <row r="13" spans="1:18" ht="22.5" customHeight="1" x14ac:dyDescent="0.3">
      <c r="A13" s="14"/>
      <c r="B13" s="7"/>
      <c r="C13" s="15"/>
      <c r="D13" s="7"/>
      <c r="E13" s="7"/>
      <c r="F13" s="7"/>
      <c r="G13" s="5"/>
      <c r="H13" s="7"/>
      <c r="I13" s="7"/>
      <c r="J13" s="7"/>
      <c r="K13" s="7"/>
      <c r="L13" s="7"/>
      <c r="M13" s="7"/>
      <c r="N13" s="7"/>
      <c r="O13" s="12"/>
      <c r="P13" s="7"/>
      <c r="Q13" s="13"/>
    </row>
    <row r="14" spans="1:18" ht="22.5" customHeight="1" x14ac:dyDescent="0.3">
      <c r="A14" s="14"/>
      <c r="B14" s="7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 ht="22.5" customHeight="1" x14ac:dyDescent="0.3">
      <c r="A15" s="10" t="s">
        <v>16</v>
      </c>
      <c r="C15" s="7">
        <v>8.0217391304347824E-2</v>
      </c>
      <c r="D15" s="5" t="s">
        <v>17</v>
      </c>
      <c r="E15" s="7" t="s">
        <v>11</v>
      </c>
      <c r="F15" s="16">
        <f>$F$11</f>
        <v>0.17799999999999999</v>
      </c>
      <c r="G15" s="7" t="s">
        <v>12</v>
      </c>
      <c r="H15" s="7" t="s">
        <v>18</v>
      </c>
      <c r="I15" s="17">
        <v>1100</v>
      </c>
      <c r="J15" s="5" t="s">
        <v>17</v>
      </c>
      <c r="K15" s="7" t="s">
        <v>14</v>
      </c>
      <c r="L15" s="44">
        <f>ROUNDDOWN(C15*F15/I15,3)</f>
        <v>0</v>
      </c>
      <c r="M15" s="42"/>
      <c r="N15" s="5" t="s">
        <v>15</v>
      </c>
      <c r="O15" s="7"/>
      <c r="P15" s="7"/>
      <c r="Q15" s="7"/>
      <c r="R15" s="7"/>
    </row>
    <row r="16" spans="1:18" ht="22.5" customHeight="1" x14ac:dyDescent="0.3">
      <c r="A16" s="19"/>
      <c r="C16" s="7">
        <f>C15</f>
        <v>8.0217391304347824E-2</v>
      </c>
      <c r="D16" s="5" t="s">
        <v>17</v>
      </c>
      <c r="E16" s="7" t="s">
        <v>11</v>
      </c>
      <c r="F16" s="16">
        <f>$F$11</f>
        <v>0.17799999999999999</v>
      </c>
      <c r="G16" s="7" t="s">
        <v>12</v>
      </c>
      <c r="H16" s="7" t="s">
        <v>18</v>
      </c>
      <c r="I16" s="17">
        <v>1150</v>
      </c>
      <c r="J16" s="5" t="s">
        <v>17</v>
      </c>
      <c r="K16" s="7" t="s">
        <v>14</v>
      </c>
      <c r="L16" s="44">
        <f>ROUNDDOWN(C16*F16/I16,3)</f>
        <v>0</v>
      </c>
      <c r="M16" s="42"/>
      <c r="N16" s="5" t="s">
        <v>15</v>
      </c>
      <c r="O16" s="7"/>
      <c r="P16" s="7"/>
      <c r="Q16" s="7"/>
      <c r="R16" s="7"/>
    </row>
    <row r="17" spans="1:18" ht="22.5" customHeight="1" x14ac:dyDescent="0.3">
      <c r="A17" s="14"/>
      <c r="C17" s="7">
        <f>C15</f>
        <v>8.0217391304347824E-2</v>
      </c>
      <c r="D17" s="5" t="s">
        <v>17</v>
      </c>
      <c r="E17" s="7" t="s">
        <v>11</v>
      </c>
      <c r="F17" s="16">
        <f>$F$11</f>
        <v>0.17799999999999999</v>
      </c>
      <c r="G17" s="7" t="s">
        <v>12</v>
      </c>
      <c r="H17" s="7" t="s">
        <v>18</v>
      </c>
      <c r="I17" s="17">
        <v>1200</v>
      </c>
      <c r="J17" s="5" t="s">
        <v>17</v>
      </c>
      <c r="K17" s="7" t="s">
        <v>14</v>
      </c>
      <c r="L17" s="44">
        <f>ROUNDDOWN(C17*F17/I17,3)</f>
        <v>0</v>
      </c>
      <c r="M17" s="42"/>
      <c r="N17" s="5" t="s">
        <v>15</v>
      </c>
      <c r="O17" s="7"/>
      <c r="P17" s="7"/>
      <c r="Q17" s="7"/>
      <c r="R17" s="7"/>
    </row>
    <row r="18" spans="1:18" ht="22.5" customHeight="1" x14ac:dyDescent="0.3">
      <c r="A18" s="14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 ht="22.5" customHeight="1" x14ac:dyDescent="0.3">
      <c r="A19" s="10" t="s">
        <v>19</v>
      </c>
      <c r="B19" s="7"/>
      <c r="C19" s="7">
        <v>0.33869565217391312</v>
      </c>
      <c r="D19" s="5" t="s">
        <v>17</v>
      </c>
      <c r="E19" s="7" t="s">
        <v>11</v>
      </c>
      <c r="F19" s="16">
        <f>$F$11</f>
        <v>0.17799999999999999</v>
      </c>
      <c r="G19" s="7" t="s">
        <v>12</v>
      </c>
      <c r="H19" s="7" t="s">
        <v>18</v>
      </c>
      <c r="I19" s="17">
        <f>I15</f>
        <v>1100</v>
      </c>
      <c r="J19" s="5" t="s">
        <v>17</v>
      </c>
      <c r="K19" s="7" t="s">
        <v>14</v>
      </c>
      <c r="L19" s="44">
        <f>ROUNDDOWN(C19*F19/I19,3)</f>
        <v>0</v>
      </c>
      <c r="M19" s="42"/>
      <c r="N19" s="43" t="s">
        <v>15</v>
      </c>
      <c r="O19" s="42"/>
      <c r="P19" s="5"/>
      <c r="Q19" s="5"/>
      <c r="R19" s="7"/>
    </row>
    <row r="20" spans="1:18" ht="22.5" customHeight="1" x14ac:dyDescent="0.3">
      <c r="A20" s="14"/>
      <c r="B20" s="7"/>
      <c r="C20" s="7">
        <f>C19</f>
        <v>0.33869565217391312</v>
      </c>
      <c r="D20" s="5" t="s">
        <v>17</v>
      </c>
      <c r="E20" s="7" t="s">
        <v>11</v>
      </c>
      <c r="F20" s="16">
        <f>$F$11</f>
        <v>0.17799999999999999</v>
      </c>
      <c r="G20" s="7" t="s">
        <v>12</v>
      </c>
      <c r="H20" s="7" t="s">
        <v>18</v>
      </c>
      <c r="I20" s="17">
        <f>I16</f>
        <v>1150</v>
      </c>
      <c r="J20" s="5" t="s">
        <v>17</v>
      </c>
      <c r="K20" s="7" t="s">
        <v>14</v>
      </c>
      <c r="L20" s="44">
        <f>ROUNDDOWN(C20*F20/I20,3)</f>
        <v>0</v>
      </c>
      <c r="M20" s="42"/>
      <c r="N20" s="43" t="s">
        <v>15</v>
      </c>
      <c r="O20" s="42"/>
      <c r="P20" s="5"/>
      <c r="Q20" s="5"/>
      <c r="R20" s="7"/>
    </row>
    <row r="21" spans="1:18" ht="22.5" customHeight="1" x14ac:dyDescent="0.3">
      <c r="A21" s="14"/>
      <c r="B21" s="7"/>
      <c r="C21" s="7">
        <f>C19</f>
        <v>0.33869565217391312</v>
      </c>
      <c r="D21" s="5" t="s">
        <v>17</v>
      </c>
      <c r="E21" s="7" t="s">
        <v>11</v>
      </c>
      <c r="F21" s="16">
        <f>$F$11</f>
        <v>0.17799999999999999</v>
      </c>
      <c r="G21" s="7" t="s">
        <v>12</v>
      </c>
      <c r="H21" s="7" t="s">
        <v>18</v>
      </c>
      <c r="I21" s="17">
        <f>I17</f>
        <v>1200</v>
      </c>
      <c r="J21" s="5" t="s">
        <v>17</v>
      </c>
      <c r="K21" s="7" t="s">
        <v>14</v>
      </c>
      <c r="L21" s="44">
        <f>ROUNDDOWN(C21*F21/I21,3)</f>
        <v>0</v>
      </c>
      <c r="M21" s="42"/>
      <c r="N21" s="43" t="s">
        <v>15</v>
      </c>
      <c r="O21" s="42"/>
      <c r="P21" s="5"/>
      <c r="Q21" s="5"/>
      <c r="R21" s="7"/>
    </row>
    <row r="22" spans="1:18" ht="22.5" customHeight="1" x14ac:dyDescent="0.3">
      <c r="A22" s="14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ht="22.5" customHeight="1" x14ac:dyDescent="0.3">
      <c r="A23" s="10" t="s">
        <v>20</v>
      </c>
      <c r="B23" s="49" t="s">
        <v>21</v>
      </c>
      <c r="C23" s="42"/>
      <c r="D23" s="41">
        <v>0.1</v>
      </c>
      <c r="E23" s="42"/>
      <c r="F23" s="5" t="s">
        <v>15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 ht="22.5" customHeight="1" x14ac:dyDescent="0.3">
      <c r="A24" s="14"/>
      <c r="B24" s="49"/>
      <c r="C24" s="42"/>
      <c r="D24" s="48"/>
      <c r="E24" s="42"/>
      <c r="F24" s="5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ht="22.5" customHeight="1" x14ac:dyDescent="0.3">
      <c r="A25" s="14"/>
      <c r="B25" s="41"/>
      <c r="C25" s="42"/>
      <c r="D25" s="41"/>
      <c r="E25" s="42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 ht="22.5" customHeight="1" x14ac:dyDescent="0.3">
      <c r="A26" s="14" t="s">
        <v>22</v>
      </c>
      <c r="B26" s="7" t="s">
        <v>23</v>
      </c>
      <c r="C26" s="18">
        <f>$Q$11+$Q$12+$Q$13+L15+L19+$D$23+$D$24</f>
        <v>0.18008872182460689</v>
      </c>
      <c r="D26" s="5" t="s">
        <v>15</v>
      </c>
      <c r="E26" s="7"/>
      <c r="F26" s="17">
        <f>I15</f>
        <v>1100</v>
      </c>
      <c r="G26" s="5" t="s">
        <v>17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 ht="22.5" customHeight="1" x14ac:dyDescent="0.3">
      <c r="B27" s="7" t="s">
        <v>23</v>
      </c>
      <c r="C27" s="18">
        <f>$Q$11+$Q$12+$Q$13+L16+L20+$D$23+$D$24</f>
        <v>0.18008872182460689</v>
      </c>
      <c r="D27" s="5" t="s">
        <v>15</v>
      </c>
      <c r="E27" s="7"/>
      <c r="F27" s="17">
        <f>I16</f>
        <v>1150</v>
      </c>
      <c r="G27" s="5" t="s">
        <v>17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 ht="22.5" customHeight="1" x14ac:dyDescent="0.3">
      <c r="B28" s="7" t="s">
        <v>23</v>
      </c>
      <c r="C28" s="18">
        <f>$Q$11+$Q$12+$Q$13+L17+L21+$D$23+$D$24</f>
        <v>0.18008872182460689</v>
      </c>
      <c r="D28" s="5" t="s">
        <v>15</v>
      </c>
      <c r="E28" s="7"/>
      <c r="F28" s="17">
        <f>I17</f>
        <v>1200</v>
      </c>
      <c r="G28" s="5" t="s">
        <v>17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8" ht="22.5" customHeight="1" x14ac:dyDescent="0.3">
      <c r="B29" s="7"/>
      <c r="C29" s="18"/>
      <c r="D29" s="5"/>
      <c r="E29" s="7"/>
      <c r="F29" s="17"/>
      <c r="G29" s="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8" ht="22.5" customHeight="1" x14ac:dyDescent="0.3">
      <c r="B30" s="7"/>
      <c r="C30" s="7"/>
      <c r="D30" s="7"/>
      <c r="E30" s="7"/>
      <c r="F30" s="4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 ht="22.5" customHeight="1" x14ac:dyDescent="0.3">
      <c r="A31" s="10" t="s">
        <v>24</v>
      </c>
      <c r="B31" s="7" t="s">
        <v>23</v>
      </c>
      <c r="C31" s="20">
        <v>2.7</v>
      </c>
      <c r="D31" s="5" t="s">
        <v>15</v>
      </c>
      <c r="E31" s="7"/>
      <c r="F31" s="4"/>
      <c r="G31" s="7"/>
      <c r="H31" s="7"/>
      <c r="I31" s="7"/>
      <c r="J31" s="7"/>
      <c r="K31" s="8">
        <v>3.09</v>
      </c>
      <c r="L31" s="7"/>
      <c r="M31" s="15"/>
      <c r="N31" s="5"/>
      <c r="O31" s="7"/>
      <c r="P31" s="4"/>
      <c r="Q31" s="7"/>
      <c r="R31" s="7"/>
    </row>
    <row r="32" spans="1:18" ht="17.25" customHeight="1" x14ac:dyDescent="0.3">
      <c r="B32" s="7"/>
      <c r="C32" s="7"/>
      <c r="D32" s="5"/>
      <c r="E32" s="7"/>
      <c r="F32" s="4"/>
      <c r="G32" s="7"/>
      <c r="H32" s="7"/>
      <c r="I32" s="7"/>
      <c r="J32" s="7"/>
      <c r="K32" s="5"/>
      <c r="L32" s="7"/>
      <c r="M32" s="7"/>
      <c r="N32" s="5"/>
      <c r="O32" s="7"/>
      <c r="P32" s="4"/>
      <c r="Q32" s="7"/>
      <c r="R32" s="7"/>
    </row>
    <row r="33" spans="1:18" ht="19.5" customHeight="1" x14ac:dyDescent="0.3">
      <c r="A33" s="14" t="s">
        <v>25</v>
      </c>
      <c r="B33" s="7"/>
      <c r="C33" s="21">
        <f>(C$31-$C26)/$C26</f>
        <v>13.992610157062478</v>
      </c>
      <c r="D33" s="5"/>
      <c r="E33" s="7"/>
      <c r="F33" s="17">
        <f>I15</f>
        <v>1100</v>
      </c>
      <c r="G33" s="5" t="s">
        <v>17</v>
      </c>
      <c r="H33" s="7"/>
      <c r="I33" s="7"/>
      <c r="J33" s="7"/>
      <c r="K33" s="22"/>
      <c r="L33" s="7"/>
      <c r="M33" s="21"/>
      <c r="N33" s="5"/>
      <c r="O33" s="7"/>
      <c r="P33" s="17"/>
      <c r="Q33" s="5"/>
      <c r="R33" s="7"/>
    </row>
    <row r="34" spans="1:18" ht="19.5" customHeight="1" x14ac:dyDescent="0.3">
      <c r="B34" s="7"/>
      <c r="C34" s="23">
        <f>(C$31-$C27)/$C27</f>
        <v>13.992610157062478</v>
      </c>
      <c r="D34" s="7"/>
      <c r="E34" s="7"/>
      <c r="F34" s="17">
        <f>I16</f>
        <v>1150</v>
      </c>
      <c r="G34" s="5" t="s">
        <v>17</v>
      </c>
      <c r="H34" s="7"/>
      <c r="I34" s="7"/>
      <c r="J34" s="7"/>
      <c r="K34" s="22"/>
      <c r="L34" s="7"/>
      <c r="M34" s="21"/>
      <c r="N34" s="7"/>
      <c r="O34" s="7"/>
      <c r="P34" s="17"/>
      <c r="Q34" s="5"/>
      <c r="R34" s="7"/>
    </row>
    <row r="35" spans="1:18" ht="19.5" customHeight="1" x14ac:dyDescent="0.3">
      <c r="B35" s="7"/>
      <c r="C35" s="21">
        <f>(C$31-$C28)/$C28</f>
        <v>13.992610157062478</v>
      </c>
      <c r="D35" s="7"/>
      <c r="E35" s="7"/>
      <c r="F35" s="17">
        <f>I17</f>
        <v>1200</v>
      </c>
      <c r="G35" s="5" t="s">
        <v>17</v>
      </c>
      <c r="H35" s="7"/>
      <c r="I35" s="7"/>
      <c r="J35" s="7"/>
      <c r="K35" s="22"/>
      <c r="L35" s="7"/>
      <c r="M35" s="21"/>
      <c r="N35" s="7"/>
      <c r="O35" s="7"/>
      <c r="P35" s="17"/>
      <c r="Q35" s="5"/>
      <c r="R35" s="7"/>
    </row>
  </sheetData>
  <mergeCells count="29">
    <mergeCell ref="K1:M1"/>
    <mergeCell ref="B2:M2"/>
    <mergeCell ref="B23:C23"/>
    <mergeCell ref="N20:O20"/>
    <mergeCell ref="N19:O19"/>
    <mergeCell ref="B24:C24"/>
    <mergeCell ref="L20:M20"/>
    <mergeCell ref="L15:M15"/>
    <mergeCell ref="D23:E23"/>
    <mergeCell ref="L19:M19"/>
    <mergeCell ref="L17:M17"/>
    <mergeCell ref="B4:M4"/>
    <mergeCell ref="G6:M6"/>
    <mergeCell ref="B5:F5"/>
    <mergeCell ref="D24:E24"/>
    <mergeCell ref="L16:M16"/>
    <mergeCell ref="B25:C25"/>
    <mergeCell ref="D25:E25"/>
    <mergeCell ref="N21:O21"/>
    <mergeCell ref="L21:M21"/>
    <mergeCell ref="D6:F6"/>
    <mergeCell ref="K7:M7"/>
    <mergeCell ref="I5:M5"/>
    <mergeCell ref="G5:H5"/>
    <mergeCell ref="D7:F7"/>
    <mergeCell ref="B6:C6"/>
    <mergeCell ref="B7:C7"/>
    <mergeCell ref="G7:H7"/>
    <mergeCell ref="I7:J7"/>
  </mergeCells>
  <phoneticPr fontId="2" type="noConversion"/>
  <pageMargins left="0.39370078740157483" right="0.39370078740157483" top="0.39370078740157483" bottom="0.39370078740157483" header="0.19685039370078741" footer="0.19685039370078741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COST</vt:lpstr>
      <vt:lpstr>COST!Print_Area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김용일</dc:creator>
  <cp:lastModifiedBy>Ralph Park</cp:lastModifiedBy>
  <cp:lastPrinted>2025-06-18T05:51:07Z</cp:lastPrinted>
  <dcterms:created xsi:type="dcterms:W3CDTF">2007-11-19T12:49:27Z</dcterms:created>
  <dcterms:modified xsi:type="dcterms:W3CDTF">2025-06-18T06:15:16Z</dcterms:modified>
</cp:coreProperties>
</file>